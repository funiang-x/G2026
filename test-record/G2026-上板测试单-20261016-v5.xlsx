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funiang\Desktop\Project\projects\G2026\docs\"/>
    </mc:Choice>
  </mc:AlternateContent>
  <bookViews>
    <workbookView windowWidth="25600" windowHeight="12080" activeTab="1"/>
  </bookViews>
  <sheets>
    <sheet name="官方测评值+测试矩阵" sheetId="1" r:id="rId1"/>
    <sheet name="干扰矩阵" sheetId="2" r:id="rId2"/>
    <sheet name="其他检查项" sheetId="3" r:id="rId3"/>
    <sheet name="别判自己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<sst xmlns="http://schemas.openxmlformats.org/spreadsheetml/2006/main" count="226" uniqueCount="181">
  <si>
    <t>G2026 上板测试单 ⓪① 官方测评值 + 测试矩阵（2026-10-16）　｜　共 4 页：① 本页（官方三式 + T1~T11）② 干扰矩阵 J1~J6 ③ 其他检查项 13 条 ④ 别判自己错　｜　切页：底部表标签 / Ctrl+PageDown</t>
  </si>
  <si>
    <t>幅度一律【峰峰值 mVpp】（发生器直接按 Vpp 设）；题面三式全是 sin、各分量零相位。  橙底 = 你拨信号源；黄底 = 你抄屏上的读数；绿底 = 自动算。  谱线①~⑤ 对应频域页右边那五个框，一格抄一条（例：125.0k 49.7），没检出留空。  判据：|Δf1|≤1kHz · |ΔVpp|≤5mV · |ΔVrms|≤5mV。峰峰值 / Vrms 一律 1 位小数（发生器与屏上口径一致）。  ★ = 本机从没上板验证过，优先做。  注：T4 / T5 / T11 与官方(1)(2)(3) 是同一信号，可只做一遍。</t>
  </si>
  <si>
    <t>场景 / 题面原式 · 档位</t>
  </si>
  <si>
    <t>信号源设置（你拨这个 · mVpp）</t>
  </si>
  <si>
    <t>真值（参考）</t>
  </si>
  <si>
    <t>实测（你填这个）</t>
  </si>
  <si>
    <t>自动判定</t>
  </si>
  <si>
    <t>序号</t>
  </si>
  <si>
    <t>场景 / 题面原式（照抄）</t>
  </si>
  <si>
    <t>对应档位</t>
  </si>
  <si>
    <t>① 频率
kHz</t>
  </si>
  <si>
    <t>① 幅值
mVpp</t>
  </si>
  <si>
    <t>② 频率
kHz</t>
  </si>
  <si>
    <t>② 幅值
mVpp</t>
  </si>
  <si>
    <t>③ 频率
kHz</t>
  </si>
  <si>
    <t>③ 幅值
mVpp</t>
  </si>
  <si>
    <t>f1
kHz</t>
  </si>
  <si>
    <t>Vpp
mV</t>
  </si>
  <si>
    <t>Vrms
mV</t>
  </si>
  <si>
    <t>谱线①</t>
  </si>
  <si>
    <t>谱线②</t>
  </si>
  <si>
    <t>谱线③</t>
  </si>
  <si>
    <t>谱线④</t>
  </si>
  <si>
    <t>谱线⑤</t>
  </si>
  <si>
    <t>备注</t>
  </si>
  <si>
    <t>Δf1</t>
  </si>
  <si>
    <t>ΔVpp</t>
  </si>
  <si>
    <t>ΔVrms</t>
  </si>
  <si>
    <t>判定</t>
  </si>
  <si>
    <t>官方(1)</t>
  </si>
  <si>
    <t>u_a = 50sin(2π·25k·t) + 30sin(2π·75k·t) + 30sin(2π·100k·t)</t>
  </si>
  <si>
    <t>u_a 档（题面第 1 项）</t>
  </si>
  <si>
    <t>25.0khz，49.8mv</t>
  </si>
  <si>
    <t>75.0khz，29.9mv</t>
  </si>
  <si>
    <t>100.0khz，29.8mv</t>
  </si>
  <si>
    <t>题面第 1 项（＝ T4）</t>
  </si>
  <si>
    <t>官方(2)</t>
  </si>
  <si>
    <t>u_b = 30sin(2π·100k·t) + 15sin(2π·200k·t)</t>
  </si>
  <si>
    <t>u_b 档（题面第 2 项）</t>
  </si>
  <si>
    <t>100khz，29.8mv</t>
  </si>
  <si>
    <t>200.0khz，15.0mv</t>
  </si>
  <si>
    <t>题面第 2 项（＝ T5）</t>
  </si>
  <si>
    <t>官方(3)</t>
  </si>
  <si>
    <t>u = u_a + u_J = [50sin(2π·125k·t) + 40sin(2π·375k·t)] + 100sin(2π·1000k·t)</t>
  </si>
  <si>
    <t>抗干扰档（题面第 3 项）</t>
  </si>
  <si>
    <t>125.0khz，49.7mv</t>
  </si>
  <si>
    <t>375.0khz，40.3mv</t>
  </si>
  <si>
    <t>1000kHz = 125k 的 8 次谐波（带外干扰）；真值只算带内 125k/375k 两根（＝ T11）</t>
  </si>
  <si>
    <t>T1</t>
  </si>
  <si>
    <t>单音·下边界(10k)</t>
  </si>
  <si>
    <t>10.0khz，24.8mv</t>
  </si>
  <si>
    <t>扫带 f_lo 侧</t>
  </si>
  <si>
    <t>T2</t>
  </si>
  <si>
    <t>★单音·上边界(500k)</t>
  </si>
  <si>
    <t>★ 未验</t>
  </si>
  <si>
    <t>500.0khz，24.5mv</t>
  </si>
  <si>
    <t>bin1024，从没上板验过</t>
  </si>
  <si>
    <t>T3</t>
  </si>
  <si>
    <t>★题面原例(非整周期)</t>
  </si>
  <si>
    <t>10.5khz，79.7mv</t>
  </si>
  <si>
    <t>31.5khz，40.0mvv</t>
  </si>
  <si>
    <t>42khz，19.9mv</t>
  </si>
  <si>
    <t>4:2:1</t>
  </si>
  <si>
    <t>T4</t>
  </si>
  <si>
    <t>u_a 档</t>
  </si>
  <si>
    <t>＝ 官方(1)，同一信号（可只做一遍）</t>
  </si>
  <si>
    <t>T5</t>
  </si>
  <si>
    <t>u_b 档(m=2)</t>
  </si>
  <si>
    <t>＝ 官方(2)，同一信号（可只做一遍）</t>
  </si>
  <si>
    <t>T6</t>
  </si>
  <si>
    <t>★u_b 最小档</t>
  </si>
  <si>
    <t>10.0khz，3.6mv</t>
  </si>
  <si>
    <t>100.0khz，7.3mv</t>
  </si>
  <si>
    <t>160.0khz，14.7mv</t>
  </si>
  <si>
    <t>复合 50.0mVpp；最小分量 7.3mVpp（=3.65mVpk），离 2.5mV 门限只 1.46 倍</t>
  </si>
  <si>
    <t>T7</t>
  </si>
  <si>
    <t>u_b 最大档</t>
  </si>
  <si>
    <t>10.0khz，18.2mv</t>
  </si>
  <si>
    <t>100.0khz，36.5mv</t>
  </si>
  <si>
    <t>160.0khz，74.2mv</t>
  </si>
  <si>
    <t>复合 250mVpp 上限（题面 u_b 幅度上界）</t>
  </si>
  <si>
    <t>T8</t>
  </si>
  <si>
    <t>★大阶次 m=16（设备上限）</t>
  </si>
  <si>
    <t>10.0khz，59.7mv</t>
  </si>
  <si>
    <t>100.0kh，30.0mv</t>
  </si>
  <si>
    <t>160.0khz，20.3mv</t>
  </si>
  <si>
    <t>大阶次 m=16（本机上限）；重建按 m 自适应加密抽点</t>
  </si>
  <si>
    <t>T9</t>
  </si>
  <si>
    <t>高频双边缘</t>
  </si>
  <si>
    <t>250.0khz，60mv</t>
  </si>
  <si>
    <t>500.0khz，39.7mv</t>
  </si>
  <si>
    <t>T10</t>
  </si>
  <si>
    <t>低频双边缘</t>
  </si>
  <si>
    <t>10.0khz，9.0mv</t>
  </si>
  <si>
    <t>20.0khz，10.9mv</t>
  </si>
  <si>
    <t>T11</t>
  </si>
  <si>
    <t>干扰矩阵的载波</t>
  </si>
  <si>
    <t>125.0khz，49.5mv</t>
  </si>
  <si>
    <t>375.0khz，39.8mv</t>
  </si>
  <si>
    <t>＝ 官方(3) 的载波；第 2 页（干扰矩阵）要用它</t>
  </si>
  <si>
    <t>G2026 上板测试单 ② 干扰矩阵（题面第 3 项 · 官方(3) 的干扰扫频）</t>
  </si>
  <si>
    <t>载波固定（B~E 列 = 官方(3) 的前两根 → 真值 f1 125 / Vpp 134.9 / Vrms 45.3）；每行只改【干扰频率】F 列（幅度固定 200mVpp）。判定 = 三项都在判据内 且 频谱只剩载波那两根（T 列选『是』）。
【① 干扰怎么给】用发生器的**谐波合成**：基波 125kHz，同一个波形里给 1 次(100mVpp) + 3 次(80mVpp) 载波 + 第 k 次(200mVpp) 干扰，一次输出直接接装置（不用第二台源、不用加法器）。
【② k 取几 / 折到哪】折叠 = |f_J − 2MHz|：8 次 1.0M → 直流 · 10 次 1.25M → 750k · 11 次 1.375M → 625k（带外里离带边最近的一点）· **12 次 1.5M → 500k（带内最坏点）** · 14 次 1.75M → 250k（带内、不在载波上）· 16 次 2.0M → 直流。⚠️ 干扰频率**必须落在 125kHz 的整数倍上** —— 所以 1.2 / 1.49 MHz（=9.6 / 11.92 次）给不出来；2.5 / 3.0 MHz 是 20 / 24 次，超过 16 次上限也给不出来（若你的发生器上限更高，可换回这两点）。1.49M 那种“刚好出带”的点，谐波网格是 125kHz 一步，同样做不到。
【③ 拨对了的标志】加干扰前后，载波那两根的读数（125k 读 49.7mV、375k 读 40.3mV）与 Vpp/Vrms 真值（134.9 / 45.3）都不应变化；变了就是载波幅度被带偏了，这根的点不能算数。</t>
  </si>
  <si>
    <t>载波（固定 · mVpp）</t>
  </si>
  <si>
    <t>干扰 u_J（你改这个）</t>
  </si>
  <si>
    <t>载波①
kHz</t>
  </si>
  <si>
    <t>载波①
mVpp</t>
  </si>
  <si>
    <t>载波②
kHz</t>
  </si>
  <si>
    <t>载波②
mVpp</t>
  </si>
  <si>
    <t>干扰 MHz
(=125k×k)</t>
  </si>
  <si>
    <t>干扰
mVpp</t>
  </si>
  <si>
    <t>期望镜像落点
（折叠 = |f_J − 2MHz|）</t>
  </si>
  <si>
    <t>只有两根?</t>
  </si>
  <si>
    <t>J1</t>
  </si>
  <si>
    <t>直流（Nyquist 整 → 被去均值丢掉）</t>
  </si>
  <si>
    <t>是</t>
  </si>
  <si>
    <t>8 次谐波 = 1.000MHz@200mVpp；折到直流 ⇒ 谱线须仍只有 125k/375k 两根</t>
  </si>
  <si>
    <t>J2</t>
  </si>
  <si>
    <t>750 kHz（分析带外）</t>
  </si>
  <si>
    <t>10 次谐波 = 1.250MHz；折到 750k（带外）⇒ 谱线须仍只有两根</t>
  </si>
  <si>
    <t>J3</t>
  </si>
  <si>
    <t>625 kHz（带外，离 502k 带边最近）</t>
  </si>
  <si>
    <t>11 次谐波 = 1.375MHz；折到 625k（带外里离带边最近的一点）⇒ 同上</t>
  </si>
  <si>
    <t>J4</t>
  </si>
  <si>
    <t>500 kHz（带内！最坏点）</t>
  </si>
  <si>
    <t>125.0khz，49.6mv</t>
  </si>
  <si>
    <t>375.0khz，40.1mv</t>
  </si>
  <si>
    <t>★12 次谐波 = 1.500MHz；折到 500k（带内最坏点）⇒ 谱线必须仍只有两根</t>
  </si>
  <si>
    <t>J5</t>
  </si>
  <si>
    <t>250 kHz（带内！不在载波上）</t>
  </si>
  <si>
    <t>375.0khz，40.0mv</t>
  </si>
  <si>
    <t>14 次谐波 = 1.750MHz；折到 250k（带内、不在载波频率上）⇒ 多出一根就是漏</t>
  </si>
  <si>
    <t>J6</t>
  </si>
  <si>
    <t>直流（2.0MHz 也落在 Nyquist 整上）</t>
  </si>
  <si>
    <t>16 次谐波 = 2.000MHz（谐波上限）；折到直流 ⇒ 同上</t>
  </si>
  <si>
    <t>G2026 上板测试单 ③ 题面明写项与其他检查（结果列下拉）</t>
  </si>
  <si>
    <t>检查项</t>
  </si>
  <si>
    <t>怎么判</t>
  </si>
  <si>
    <t>结果</t>
  </si>
  <si>
    <t>上电自检</t>
  </si>
  <si>
    <t>页 2 那 8 项全 PASS（含 DSP 链自检）</t>
  </si>
  <si>
    <t>标定持久化</t>
  </si>
  <si>
    <t>重新标定 → 断电重启 → 页 2 仍显示 CAL OK</t>
  </si>
  <si>
    <t>各项 ≤2 s</t>
  </si>
  <si>
    <t>切页 / 切 1T↔3T 后读数到位 ≤2 s（现在约 0.25 s）</t>
  </si>
  <si>
    <t>波形 1T</t>
  </si>
  <si>
    <t>整数个完整周期、无缺口、不滚动不抖</t>
  </si>
  <si>
    <t>波形 3T</t>
  </si>
  <si>
    <t>同上（3 个完整周期）</t>
  </si>
  <si>
    <t>谱线图-根数</t>
  </si>
  <si>
    <t>亮框数 = 你拨的分量数（不多不少）</t>
  </si>
  <si>
    <t>谱线图-位置</t>
  </si>
  <si>
    <t>柱在对数轴上位置与频率对得上（10k~500k）</t>
  </si>
  <si>
    <t>谱线图-长度</t>
  </si>
  <si>
    <t>柱长比 = 幅值比（官方(2) 里 200k 应是 100k 的一半）</t>
  </si>
  <si>
    <t>基频分辨率</t>
  </si>
  <si>
    <t>Δf=488Hz（≤500Hz 判据）；相邻 10kHz 分量分得开</t>
  </si>
  <si>
    <t>干扰 6 点</t>
  </si>
  <si>
    <t>第 2 页 6 行全 PASS</t>
  </si>
  <si>
    <t>最小/最大档</t>
  </si>
  <si>
    <t>T6(50mVpp) / T7(250mVpp) 都在判据内</t>
  </si>
  <si>
    <t>★ 三个未验项</t>
  </si>
  <si>
    <t>T2 / T6 / T8 全 PASS（第 1 页重点）</t>
  </si>
  <si>
    <t>官方三式</t>
  </si>
  <si>
    <t>第 1 页 官方(1)(2)(3) 全 PASS</t>
  </si>
  <si>
    <t>G2026 上板测试单 ④ 已知边界 —— 这几条别判自己错</t>
  </si>
  <si>
    <t>现象</t>
  </si>
  <si>
    <t>说明</t>
  </si>
  <si>
    <t>给某个分量人为加相位差后，Vpp/波形偏</t>
  </si>
  <si>
    <t>题面信号定义就是各分量零相位（u = Σ A_k·sin(2π f_k t)）；本机形状与 Upp 按零相位口径算（2026-10-16 定），这是刻意取舍，不是 bug。</t>
  </si>
  <si>
    <t>重标定后 Vpp 不再变化</t>
  </si>
  <si>
    <t>相位标定在本装置上先天不可靠（采集自由运行，帧起点与源无关）；现在标定只影响幅值。</t>
  </si>
  <si>
    <t>官方(3) 的 1MHz 不出现在频谱里</t>
  </si>
  <si>
    <t>它只许折叠到直流（Nyquist 整）或带外；带内 500kHz 若有残留，必须 &lt; 2.5mV 门限。</t>
  </si>
  <si>
    <t>THD 不上屏</t>
  </si>
  <si>
    <t>题面不要求（值仍在结果体里，可随时接出来显示）。</t>
  </si>
  <si>
    <t>屏 3.5 英寸（题面写 ≥6 英寸）</t>
  </si>
  <si>
    <t>已拍板接受该条款。</t>
  </si>
  <si>
    <t>30pin 排距 / 触摸 I2C / 背光恒流</t>
  </si>
  <si>
    <t>硬件遗留项，与本题判据无关（见 docs/INDEX 的 hardware/58~62）。</t>
  </si>
  <si>
    <t>只支持 1T / 3T 两档波形</t>
  </si>
  <si>
    <t>题面要求就是 1 或 3 个完整周期。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</si>
</sst>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"/>
    <numFmt numFmtId="177" formatCode="0.0"/>
    <numFmt numFmtId="178" formatCode="0.000"/>
    <numFmt numFmtId="179" formatCode="\+0.0;\-0.0;0.0"/>
    <numFmt numFmtId="180" formatCode="0.###"/>
    <numFmt numFmtId="181" formatCode="\+0.00;\-0.00;0.00"/>
  </numFmts>
  <fonts count="27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9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color rgb="FF404040"/>
      <name val="微软雅黑"/>
      <charset val="134"/>
    </font>
    <font>
      <b/>
      <sz val="10"/>
      <color rgb="FF833C00"/>
      <name val="微软雅黑"/>
      <charset val="134"/>
    </font>
    <font>
      <b/>
      <sz val="10"/>
      <color rgb="FF9C000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14" borderId="7">
      <alignment vertical="center"/>
    </xf>
    <xf numFmtId="0" fontId="17" fillId="5" borderId="8">
      <alignment vertical="center"/>
    </xf>
    <xf numFmtId="0" fontId="18" fillId="5" borderId="7">
      <alignment vertical="center"/>
    </xf>
    <xf numFmtId="0" fontId="19" fillId="15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6" fillId="40" borderId="0">
      <alignment vertical="center"/>
    </xf>
    <xf numFmtId="0" fontId="26" fillId="41" borderId="0">
      <alignment vertical="center"/>
    </xf>
    <xf numFmtId="0" fontId="25" fillId="42" borderId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3" xfId="0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 wrapText="1"/>
    </xf>
    <xf numFmtId="177" fontId="4" fillId="7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9" fontId="4" fillId="7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80" fontId="4" fillId="6" borderId="1" xfId="0" applyNumberFormat="1" applyFont="1" applyFill="1" applyBorder="1" applyAlignment="1">
      <alignment horizontal="center" vertical="center" wrapText="1"/>
    </xf>
    <xf numFmtId="181" fontId="4" fillId="7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微软雅黑"/>
        <scheme val="none"/>
        <b val="1"/>
        <sz val="10"/>
        <color rgb="FF006100"/>
      </font>
      <fill>
        <patternFill patternType="solid">
          <fgColor rgb="FFC6EFCE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"/>
  <sheetViews>
    <sheetView workbookViewId="0">
      <pane xSplit="3" ySplit="4" topLeftCell="D7" activePane="bottomRight" state="frozen"/>
      <selection/>
      <selection pane="topRight"/>
      <selection pane="bottomLeft"/>
      <selection pane="bottomRight" activeCell="R15" sqref="R15"/>
    </sheetView>
  </sheetViews>
  <sheetFormatPr defaultColWidth="9" defaultRowHeight="14"/>
  <cols>
    <col min="1" max="1" width="7" customWidth="1"/>
    <col min="2" max="2" width="52" customWidth="1"/>
    <col min="3" max="3" width="18" customWidth="1"/>
    <col min="4" max="4" width="7.5" customWidth="1"/>
    <col min="5" max="5" width="8" customWidth="1"/>
    <col min="6" max="6" width="7.5" customWidth="1"/>
    <col min="7" max="7" width="8" customWidth="1"/>
    <col min="8" max="8" width="7.5" customWidth="1"/>
    <col min="9" max="9" width="8" customWidth="1"/>
    <col min="10" max="10" width="7.5" customWidth="1"/>
    <col min="11" max="11" width="8" customWidth="1"/>
    <col min="12" max="12" width="8.5" customWidth="1"/>
    <col min="13" max="13" width="7.5" customWidth="1"/>
    <col min="14" max="14" width="8" customWidth="1"/>
    <col min="15" max="15" width="8.5" customWidth="1"/>
    <col min="16" max="20" width="11" customWidth="1"/>
    <col min="21" max="21" width="22" customWidth="1"/>
    <col min="22" max="25" width="8" customWidth="1"/>
  </cols>
  <sheetData>
    <row r="1" ht="30" customHeight="1" spans="1:26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</row>
    <row r="2" ht="42" customHeight="1" spans="1:26">
      <c r="A2" s="24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"/>
    </row>
    <row r="3" ht="14.5" customHeight="1" spans="1:26">
      <c r="A3" s="10"/>
      <c r="B3" s="25" t="s">
        <v>2</v>
      </c>
      <c r="C3" s="2"/>
      <c r="D3" s="11" t="s">
        <v>3</v>
      </c>
      <c r="E3" s="6"/>
      <c r="F3" s="6"/>
      <c r="G3" s="6"/>
      <c r="H3" s="6"/>
      <c r="I3" s="2"/>
      <c r="J3" s="12" t="s">
        <v>4</v>
      </c>
      <c r="K3" s="6"/>
      <c r="L3" s="2"/>
      <c r="M3" s="13" t="s">
        <v>5</v>
      </c>
      <c r="N3" s="6"/>
      <c r="O3" s="6"/>
      <c r="P3" s="6"/>
      <c r="Q3" s="6"/>
      <c r="R3" s="6"/>
      <c r="S3" s="6"/>
      <c r="T3" s="6"/>
      <c r="U3" s="2"/>
      <c r="V3" s="12" t="s">
        <v>6</v>
      </c>
      <c r="W3" s="6"/>
      <c r="X3" s="6"/>
      <c r="Y3" s="2"/>
      <c r="Z3" s="10"/>
    </row>
    <row r="4" ht="30" customHeight="1" spans="1:26">
      <c r="A4" s="3" t="s">
        <v>7</v>
      </c>
      <c r="B4" s="26" t="s">
        <v>8</v>
      </c>
      <c r="C4" s="26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5" t="s">
        <v>16</v>
      </c>
      <c r="K4" s="15" t="s">
        <v>17</v>
      </c>
      <c r="L4" s="15" t="s">
        <v>18</v>
      </c>
      <c r="M4" s="16" t="s">
        <v>16</v>
      </c>
      <c r="N4" s="16" t="s">
        <v>17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16" t="s">
        <v>23</v>
      </c>
      <c r="U4" s="16" t="s">
        <v>24</v>
      </c>
      <c r="V4" s="3" t="s">
        <v>25</v>
      </c>
      <c r="W4" s="3" t="s">
        <v>26</v>
      </c>
      <c r="X4" s="3" t="s">
        <v>27</v>
      </c>
      <c r="Y4" s="3" t="s">
        <v>28</v>
      </c>
    </row>
    <row r="5" ht="44" customHeight="1" spans="1:26">
      <c r="A5" s="17" t="s">
        <v>29</v>
      </c>
      <c r="B5" s="5" t="s">
        <v>30</v>
      </c>
      <c r="C5" s="5" t="s">
        <v>31</v>
      </c>
      <c r="D5" s="27">
        <v>25</v>
      </c>
      <c r="E5" s="19">
        <v>100</v>
      </c>
      <c r="F5" s="27">
        <v>75</v>
      </c>
      <c r="G5" s="19">
        <v>60</v>
      </c>
      <c r="H5" s="27">
        <v>100</v>
      </c>
      <c r="I5" s="19">
        <v>60</v>
      </c>
      <c r="J5" s="21">
        <v>25</v>
      </c>
      <c r="K5" s="21">
        <v>162.3</v>
      </c>
      <c r="L5" s="21">
        <v>46.4</v>
      </c>
      <c r="M5" s="22">
        <v>25</v>
      </c>
      <c r="N5" s="22">
        <v>161.6</v>
      </c>
      <c r="O5" s="22">
        <v>46.2</v>
      </c>
      <c r="P5" s="7" t="s">
        <v>32</v>
      </c>
      <c r="Q5" s="7" t="s">
        <v>33</v>
      </c>
      <c r="R5" s="7" t="s">
        <v>34</v>
      </c>
      <c r="S5" s="7"/>
      <c r="T5" s="7"/>
      <c r="U5" s="8" t="s">
        <v>35</v>
      </c>
      <c r="V5" s="28">
        <f t="shared" ref="V5:V18" si="0">IF(M5="","",M5-J5)</f>
        <v>0</v>
      </c>
      <c r="W5" s="28">
        <f t="shared" ref="W5:W18" si="1">IF(N5="","",N5-K5)</f>
        <v>-0.700000000000017</v>
      </c>
      <c r="X5" s="28">
        <f t="shared" ref="X5:X18" si="2">IF(O5="","",O5-L5)</f>
        <v>-0.199999999999996</v>
      </c>
      <c r="Y5" s="12" t="str">
        <f t="shared" ref="Y5:Y18" si="3">IF(OR(M5="",N5="",O5=""),"",IF(AND(ABS(M5-J5)&lt;=1,ABS(N5-K5)&lt;=5,ABS(O5-L5)&lt;=5),"PASS","FAIL"))</f>
        <v>PASS</v>
      </c>
    </row>
    <row r="6" ht="44" customHeight="1" spans="1:26">
      <c r="A6" s="17" t="s">
        <v>36</v>
      </c>
      <c r="B6" s="5" t="s">
        <v>37</v>
      </c>
      <c r="C6" s="5" t="s">
        <v>38</v>
      </c>
      <c r="D6" s="27">
        <v>100</v>
      </c>
      <c r="E6" s="19">
        <v>60</v>
      </c>
      <c r="F6" s="27">
        <v>200</v>
      </c>
      <c r="G6" s="19">
        <v>30</v>
      </c>
      <c r="H6" s="27"/>
      <c r="I6" s="19"/>
      <c r="J6" s="21">
        <v>100</v>
      </c>
      <c r="K6" s="21">
        <v>77.9</v>
      </c>
      <c r="L6" s="21">
        <v>23.7</v>
      </c>
      <c r="M6" s="22">
        <v>100</v>
      </c>
      <c r="N6" s="22">
        <v>77.6</v>
      </c>
      <c r="O6" s="22">
        <v>23.6</v>
      </c>
      <c r="P6" s="7" t="s">
        <v>39</v>
      </c>
      <c r="Q6" s="7" t="s">
        <v>40</v>
      </c>
      <c r="R6" s="7"/>
      <c r="S6" s="7"/>
      <c r="T6" s="7"/>
      <c r="U6" s="8" t="s">
        <v>41</v>
      </c>
      <c r="V6" s="28">
        <f t="shared" si="0"/>
        <v>0</v>
      </c>
      <c r="W6" s="28">
        <f t="shared" si="1"/>
        <v>-0.300000000000011</v>
      </c>
      <c r="X6" s="28">
        <f t="shared" si="2"/>
        <v>-0.0999999999999979</v>
      </c>
      <c r="Y6" s="12" t="str">
        <f t="shared" si="3"/>
        <v>PASS</v>
      </c>
    </row>
    <row r="7" ht="44" customHeight="1" spans="1:26">
      <c r="A7" s="17" t="s">
        <v>42</v>
      </c>
      <c r="B7" s="5" t="s">
        <v>43</v>
      </c>
      <c r="C7" s="5" t="s">
        <v>44</v>
      </c>
      <c r="D7" s="27">
        <v>125</v>
      </c>
      <c r="E7" s="19">
        <v>100</v>
      </c>
      <c r="F7" s="27">
        <v>375</v>
      </c>
      <c r="G7" s="19">
        <v>80</v>
      </c>
      <c r="H7" s="27">
        <v>1000</v>
      </c>
      <c r="I7" s="19">
        <v>200</v>
      </c>
      <c r="J7" s="21">
        <v>125</v>
      </c>
      <c r="K7" s="21">
        <v>134.9</v>
      </c>
      <c r="L7" s="21">
        <v>45.3</v>
      </c>
      <c r="M7" s="22">
        <v>125</v>
      </c>
      <c r="N7" s="22">
        <v>135</v>
      </c>
      <c r="O7" s="22">
        <v>45.2</v>
      </c>
      <c r="P7" s="7" t="s">
        <v>45</v>
      </c>
      <c r="Q7" s="7" t="s">
        <v>46</v>
      </c>
      <c r="R7" s="7"/>
      <c r="S7" s="7"/>
      <c r="T7" s="7"/>
      <c r="U7" s="8" t="s">
        <v>47</v>
      </c>
      <c r="V7" s="28">
        <f t="shared" si="0"/>
        <v>0</v>
      </c>
      <c r="W7" s="28">
        <f t="shared" si="1"/>
        <v>0.0999999999999943</v>
      </c>
      <c r="X7" s="28">
        <f t="shared" si="2"/>
        <v>-0.0999999999999943</v>
      </c>
      <c r="Y7" s="12" t="str">
        <f t="shared" si="3"/>
        <v>PASS</v>
      </c>
    </row>
    <row r="8" ht="26" customHeight="1" spans="1:26">
      <c r="A8" s="17" t="s">
        <v>48</v>
      </c>
      <c r="B8" s="5" t="s">
        <v>49</v>
      </c>
      <c r="C8" s="5"/>
      <c r="D8" s="27">
        <v>10</v>
      </c>
      <c r="E8" s="19">
        <v>50</v>
      </c>
      <c r="F8" s="27"/>
      <c r="G8" s="19"/>
      <c r="H8" s="27"/>
      <c r="I8" s="19"/>
      <c r="J8" s="21">
        <v>10</v>
      </c>
      <c r="K8" s="21">
        <v>50</v>
      </c>
      <c r="L8" s="21">
        <v>17.7</v>
      </c>
      <c r="M8" s="22">
        <v>10</v>
      </c>
      <c r="N8" s="22">
        <v>49.6</v>
      </c>
      <c r="O8" s="22">
        <v>17.5</v>
      </c>
      <c r="P8" s="7" t="s">
        <v>50</v>
      </c>
      <c r="Q8" s="7"/>
      <c r="R8" s="7"/>
      <c r="S8" s="7"/>
      <c r="T8" s="7"/>
      <c r="U8" s="8" t="s">
        <v>51</v>
      </c>
      <c r="V8" s="23">
        <f t="shared" si="0"/>
        <v>0</v>
      </c>
      <c r="W8" s="23">
        <f t="shared" si="1"/>
        <v>-0.399999999999999</v>
      </c>
      <c r="X8" s="23">
        <f t="shared" si="2"/>
        <v>-0.199999999999999</v>
      </c>
      <c r="Y8" s="12" t="str">
        <f t="shared" si="3"/>
        <v>PASS</v>
      </c>
    </row>
    <row r="9" ht="26" customHeight="1" spans="1:26">
      <c r="A9" s="17" t="s">
        <v>52</v>
      </c>
      <c r="B9" s="5" t="s">
        <v>53</v>
      </c>
      <c r="C9" s="5" t="s">
        <v>54</v>
      </c>
      <c r="D9" s="27">
        <v>500</v>
      </c>
      <c r="E9" s="19">
        <v>50</v>
      </c>
      <c r="F9" s="27"/>
      <c r="G9" s="19"/>
      <c r="H9" s="27"/>
      <c r="I9" s="19"/>
      <c r="J9" s="21">
        <v>500</v>
      </c>
      <c r="K9" s="21">
        <v>50</v>
      </c>
      <c r="L9" s="21">
        <v>17.7</v>
      </c>
      <c r="M9" s="22">
        <v>500</v>
      </c>
      <c r="N9" s="22">
        <v>49</v>
      </c>
      <c r="O9" s="22">
        <v>17.3</v>
      </c>
      <c r="P9" s="7" t="s">
        <v>55</v>
      </c>
      <c r="Q9" s="7"/>
      <c r="R9" s="7"/>
      <c r="S9" s="7"/>
      <c r="T9" s="7"/>
      <c r="U9" s="8" t="s">
        <v>56</v>
      </c>
      <c r="V9" s="23">
        <f t="shared" si="0"/>
        <v>0</v>
      </c>
      <c r="W9" s="23">
        <f t="shared" si="1"/>
        <v>-1</v>
      </c>
      <c r="X9" s="23">
        <f t="shared" si="2"/>
        <v>-0.399999999999999</v>
      </c>
      <c r="Y9" s="12" t="str">
        <f t="shared" si="3"/>
        <v>PASS</v>
      </c>
    </row>
    <row r="10" ht="26" customHeight="1" spans="1:26">
      <c r="A10" s="17" t="s">
        <v>57</v>
      </c>
      <c r="B10" s="5" t="s">
        <v>58</v>
      </c>
      <c r="C10" s="5"/>
      <c r="D10" s="27">
        <v>10.5</v>
      </c>
      <c r="E10" s="19">
        <v>160</v>
      </c>
      <c r="F10" s="27">
        <v>31.5</v>
      </c>
      <c r="G10" s="19">
        <v>80</v>
      </c>
      <c r="H10" s="27">
        <v>42</v>
      </c>
      <c r="I10" s="19">
        <v>40</v>
      </c>
      <c r="J10" s="21">
        <v>10.5</v>
      </c>
      <c r="K10" s="21">
        <v>195.9</v>
      </c>
      <c r="L10" s="21">
        <v>64.8</v>
      </c>
      <c r="M10" s="22">
        <v>10.5</v>
      </c>
      <c r="N10" s="22">
        <v>195.4</v>
      </c>
      <c r="O10" s="22">
        <v>64.6</v>
      </c>
      <c r="P10" s="7" t="s">
        <v>59</v>
      </c>
      <c r="Q10" s="7" t="s">
        <v>60</v>
      </c>
      <c r="R10" s="7" t="s">
        <v>61</v>
      </c>
      <c r="S10" s="7"/>
      <c r="T10" s="7"/>
      <c r="U10" s="8" t="s">
        <v>62</v>
      </c>
      <c r="V10" s="23">
        <f t="shared" si="0"/>
        <v>0</v>
      </c>
      <c r="W10" s="23">
        <f t="shared" si="1"/>
        <v>-0.5</v>
      </c>
      <c r="X10" s="23">
        <f t="shared" si="2"/>
        <v>-0.200000000000003</v>
      </c>
      <c r="Y10" s="12" t="str">
        <f t="shared" si="3"/>
        <v>PASS</v>
      </c>
    </row>
    <row r="11" ht="26" customHeight="1" spans="1:26">
      <c r="A11" s="17" t="s">
        <v>63</v>
      </c>
      <c r="B11" s="5" t="s">
        <v>64</v>
      </c>
      <c r="C11" s="5"/>
      <c r="D11" s="27">
        <v>25</v>
      </c>
      <c r="E11" s="19">
        <v>100</v>
      </c>
      <c r="F11" s="27">
        <v>75</v>
      </c>
      <c r="G11" s="19">
        <v>60</v>
      </c>
      <c r="H11" s="27">
        <v>100</v>
      </c>
      <c r="I11" s="19">
        <v>60</v>
      </c>
      <c r="J11" s="21">
        <v>25</v>
      </c>
      <c r="K11" s="21">
        <v>162.3</v>
      </c>
      <c r="L11" s="21">
        <v>46.4</v>
      </c>
      <c r="M11" s="22">
        <v>25</v>
      </c>
      <c r="N11" s="22">
        <v>161.6</v>
      </c>
      <c r="O11" s="22">
        <v>46.2</v>
      </c>
      <c r="P11" s="7" t="s">
        <v>32</v>
      </c>
      <c r="Q11" s="7" t="s">
        <v>33</v>
      </c>
      <c r="R11" s="7" t="s">
        <v>34</v>
      </c>
      <c r="S11" s="7"/>
      <c r="T11" s="7"/>
      <c r="U11" s="8" t="s">
        <v>65</v>
      </c>
      <c r="V11" s="23">
        <f t="shared" si="0"/>
        <v>0</v>
      </c>
      <c r="W11" s="23">
        <f t="shared" si="1"/>
        <v>-0.700000000000017</v>
      </c>
      <c r="X11" s="23">
        <f t="shared" si="2"/>
        <v>-0.199999999999996</v>
      </c>
      <c r="Y11" s="12" t="str">
        <f t="shared" si="3"/>
        <v>PASS</v>
      </c>
    </row>
    <row r="12" ht="26" customHeight="1" spans="1:26">
      <c r="A12" s="17" t="s">
        <v>66</v>
      </c>
      <c r="B12" s="5" t="s">
        <v>67</v>
      </c>
      <c r="C12" s="5"/>
      <c r="D12" s="27">
        <v>100</v>
      </c>
      <c r="E12" s="19">
        <v>60</v>
      </c>
      <c r="F12" s="27">
        <v>200</v>
      </c>
      <c r="G12" s="19">
        <v>30</v>
      </c>
      <c r="H12" s="27"/>
      <c r="I12" s="19"/>
      <c r="J12" s="21">
        <v>100</v>
      </c>
      <c r="K12" s="21">
        <v>77.9</v>
      </c>
      <c r="L12" s="21">
        <v>23.7</v>
      </c>
      <c r="M12" s="22">
        <v>100</v>
      </c>
      <c r="N12" s="22">
        <v>77.6</v>
      </c>
      <c r="O12" s="22">
        <v>23.6</v>
      </c>
      <c r="P12" s="7" t="s">
        <v>34</v>
      </c>
      <c r="Q12" s="7" t="s">
        <v>40</v>
      </c>
      <c r="R12" s="7"/>
      <c r="S12" s="7"/>
      <c r="T12" s="7"/>
      <c r="U12" s="8" t="s">
        <v>68</v>
      </c>
      <c r="V12" s="23">
        <f t="shared" si="0"/>
        <v>0</v>
      </c>
      <c r="W12" s="23">
        <f t="shared" si="1"/>
        <v>-0.300000000000011</v>
      </c>
      <c r="X12" s="23">
        <f t="shared" si="2"/>
        <v>-0.0999999999999979</v>
      </c>
      <c r="Y12" s="12" t="str">
        <f t="shared" si="3"/>
        <v>PASS</v>
      </c>
    </row>
    <row r="13" ht="26" customHeight="1" spans="1:26">
      <c r="A13" s="17" t="s">
        <v>69</v>
      </c>
      <c r="B13" s="5" t="s">
        <v>70</v>
      </c>
      <c r="C13" s="5" t="s">
        <v>54</v>
      </c>
      <c r="D13" s="27">
        <v>10</v>
      </c>
      <c r="E13" s="19">
        <v>7.3</v>
      </c>
      <c r="F13" s="27">
        <v>100</v>
      </c>
      <c r="G13" s="19">
        <v>14.6</v>
      </c>
      <c r="H13" s="27">
        <v>160</v>
      </c>
      <c r="I13" s="19">
        <v>29.2</v>
      </c>
      <c r="J13" s="21">
        <v>10</v>
      </c>
      <c r="K13" s="21">
        <v>50</v>
      </c>
      <c r="L13" s="21">
        <v>11.8</v>
      </c>
      <c r="M13" s="22">
        <v>10</v>
      </c>
      <c r="N13" s="22">
        <v>50.1</v>
      </c>
      <c r="O13" s="22">
        <v>11.9</v>
      </c>
      <c r="P13" s="7" t="s">
        <v>71</v>
      </c>
      <c r="Q13" s="7" t="s">
        <v>72</v>
      </c>
      <c r="R13" s="7" t="s">
        <v>73</v>
      </c>
      <c r="S13" s="7"/>
      <c r="T13" s="7"/>
      <c r="U13" s="8" t="s">
        <v>74</v>
      </c>
      <c r="V13" s="23">
        <f t="shared" si="0"/>
        <v>0</v>
      </c>
      <c r="W13" s="23">
        <f t="shared" si="1"/>
        <v>0.100000000000001</v>
      </c>
      <c r="X13" s="23">
        <f t="shared" si="2"/>
        <v>0.0999999999999996</v>
      </c>
      <c r="Y13" s="12" t="str">
        <f t="shared" si="3"/>
        <v>PASS</v>
      </c>
    </row>
    <row r="14" ht="26" customHeight="1" spans="1:26">
      <c r="A14" s="17" t="s">
        <v>75</v>
      </c>
      <c r="B14" s="5" t="s">
        <v>76</v>
      </c>
      <c r="C14" s="5"/>
      <c r="D14" s="27">
        <v>10</v>
      </c>
      <c r="E14" s="19">
        <v>36.5</v>
      </c>
      <c r="F14" s="27">
        <v>100</v>
      </c>
      <c r="G14" s="19">
        <v>73</v>
      </c>
      <c r="H14" s="27">
        <v>160</v>
      </c>
      <c r="I14" s="19">
        <v>146</v>
      </c>
      <c r="J14" s="21">
        <v>10</v>
      </c>
      <c r="K14" s="21">
        <v>250.1</v>
      </c>
      <c r="L14" s="21">
        <v>59.1</v>
      </c>
      <c r="M14" s="22">
        <v>10</v>
      </c>
      <c r="N14" s="22">
        <v>252</v>
      </c>
      <c r="O14" s="22">
        <v>59.9</v>
      </c>
      <c r="P14" s="7" t="s">
        <v>77</v>
      </c>
      <c r="Q14" s="7" t="s">
        <v>78</v>
      </c>
      <c r="R14" s="7" t="s">
        <v>79</v>
      </c>
      <c r="S14" s="7"/>
      <c r="T14" s="7"/>
      <c r="U14" s="8" t="s">
        <v>80</v>
      </c>
      <c r="V14" s="23">
        <f t="shared" si="0"/>
        <v>0</v>
      </c>
      <c r="W14" s="23">
        <f t="shared" si="1"/>
        <v>1.90000000000001</v>
      </c>
      <c r="X14" s="23">
        <f t="shared" si="2"/>
        <v>0.799999999999997</v>
      </c>
      <c r="Y14" s="12" t="str">
        <f t="shared" si="3"/>
        <v>PASS</v>
      </c>
    </row>
    <row r="15" ht="26" customHeight="1" spans="1:26">
      <c r="A15" s="17" t="s">
        <v>81</v>
      </c>
      <c r="B15" s="5" t="s">
        <v>82</v>
      </c>
      <c r="C15" s="5" t="s">
        <v>54</v>
      </c>
      <c r="D15" s="27">
        <v>10</v>
      </c>
      <c r="E15" s="19">
        <v>120</v>
      </c>
      <c r="F15" s="27">
        <v>100</v>
      </c>
      <c r="G15" s="19">
        <v>60</v>
      </c>
      <c r="H15" s="27">
        <v>160</v>
      </c>
      <c r="I15" s="19">
        <v>40</v>
      </c>
      <c r="J15" s="21">
        <v>10</v>
      </c>
      <c r="K15" s="21">
        <v>205.6</v>
      </c>
      <c r="L15" s="21">
        <v>49.5</v>
      </c>
      <c r="M15" s="22">
        <v>10</v>
      </c>
      <c r="N15" s="22">
        <v>205.7</v>
      </c>
      <c r="O15" s="22">
        <v>49.4</v>
      </c>
      <c r="P15" s="7" t="s">
        <v>83</v>
      </c>
      <c r="Q15" s="7" t="s">
        <v>84</v>
      </c>
      <c r="R15" s="7" t="s">
        <v>85</v>
      </c>
      <c r="S15" s="7"/>
      <c r="T15" s="7"/>
      <c r="U15" s="8" t="s">
        <v>86</v>
      </c>
      <c r="V15" s="23">
        <f t="shared" si="0"/>
        <v>0</v>
      </c>
      <c r="W15" s="23">
        <f t="shared" si="1"/>
        <v>0.0999999999999943</v>
      </c>
      <c r="X15" s="23">
        <f t="shared" si="2"/>
        <v>-0.100000000000001</v>
      </c>
      <c r="Y15" s="12" t="str">
        <f t="shared" si="3"/>
        <v>PASS</v>
      </c>
    </row>
    <row r="16" ht="26" customHeight="1" spans="1:26">
      <c r="A16" s="17" t="s">
        <v>87</v>
      </c>
      <c r="B16" s="5" t="s">
        <v>88</v>
      </c>
      <c r="C16" s="5"/>
      <c r="D16" s="27">
        <v>250</v>
      </c>
      <c r="E16" s="19">
        <v>120</v>
      </c>
      <c r="F16" s="27">
        <v>500</v>
      </c>
      <c r="G16" s="19">
        <v>80</v>
      </c>
      <c r="H16" s="27"/>
      <c r="I16" s="19"/>
      <c r="J16" s="21">
        <v>250</v>
      </c>
      <c r="K16" s="21">
        <v>173.7</v>
      </c>
      <c r="L16" s="21">
        <v>51</v>
      </c>
      <c r="M16" s="22">
        <v>250</v>
      </c>
      <c r="N16" s="22">
        <v>173.1</v>
      </c>
      <c r="O16" s="22">
        <v>50.9</v>
      </c>
      <c r="P16" s="7" t="s">
        <v>89</v>
      </c>
      <c r="Q16" s="7" t="s">
        <v>90</v>
      </c>
      <c r="R16" s="7"/>
      <c r="S16" s="7"/>
      <c r="T16" s="7"/>
      <c r="U16" s="8"/>
      <c r="V16" s="23">
        <f t="shared" si="0"/>
        <v>0</v>
      </c>
      <c r="W16" s="23">
        <f t="shared" si="1"/>
        <v>-0.599999999999994</v>
      </c>
      <c r="X16" s="23">
        <f t="shared" si="2"/>
        <v>-0.100000000000001</v>
      </c>
      <c r="Y16" s="12" t="str">
        <f t="shared" si="3"/>
        <v>PASS</v>
      </c>
    </row>
    <row r="17" ht="26" customHeight="1" spans="1:25">
      <c r="A17" s="17" t="s">
        <v>91</v>
      </c>
      <c r="B17" s="5" t="s">
        <v>92</v>
      </c>
      <c r="C17" s="5"/>
      <c r="D17" s="27">
        <v>10</v>
      </c>
      <c r="E17" s="19">
        <v>18</v>
      </c>
      <c r="F17" s="27">
        <v>20</v>
      </c>
      <c r="G17" s="19">
        <v>22</v>
      </c>
      <c r="H17" s="27"/>
      <c r="I17" s="19"/>
      <c r="J17" s="21">
        <v>10</v>
      </c>
      <c r="K17" s="21">
        <v>35.5</v>
      </c>
      <c r="L17" s="21">
        <v>10.1</v>
      </c>
      <c r="M17" s="22">
        <v>10</v>
      </c>
      <c r="N17" s="22">
        <v>35.3</v>
      </c>
      <c r="O17" s="22">
        <v>10</v>
      </c>
      <c r="P17" s="7" t="s">
        <v>93</v>
      </c>
      <c r="Q17" s="7" t="s">
        <v>94</v>
      </c>
      <c r="R17" s="7"/>
      <c r="S17" s="7"/>
      <c r="T17" s="7"/>
      <c r="U17" s="8"/>
      <c r="V17" s="23">
        <f t="shared" si="0"/>
        <v>0</v>
      </c>
      <c r="W17" s="23">
        <f t="shared" si="1"/>
        <v>-0.200000000000003</v>
      </c>
      <c r="X17" s="23">
        <f t="shared" si="2"/>
        <v>-0.0999999999999996</v>
      </c>
      <c r="Y17" s="12" t="str">
        <f t="shared" si="3"/>
        <v>PASS</v>
      </c>
    </row>
    <row r="18" ht="26" customHeight="1" spans="1:25">
      <c r="A18" s="17" t="s">
        <v>95</v>
      </c>
      <c r="B18" s="5" t="s">
        <v>96</v>
      </c>
      <c r="C18" s="5"/>
      <c r="D18" s="27">
        <v>125</v>
      </c>
      <c r="E18" s="19">
        <v>100</v>
      </c>
      <c r="F18" s="27">
        <v>375</v>
      </c>
      <c r="G18" s="19">
        <v>80</v>
      </c>
      <c r="H18" s="27"/>
      <c r="I18" s="19"/>
      <c r="J18" s="21">
        <v>125</v>
      </c>
      <c r="K18" s="21">
        <v>134.9</v>
      </c>
      <c r="L18" s="21">
        <v>45.3</v>
      </c>
      <c r="M18" s="22">
        <v>125</v>
      </c>
      <c r="N18" s="22">
        <v>133.8</v>
      </c>
      <c r="O18" s="22">
        <v>44.9</v>
      </c>
      <c r="P18" s="7" t="s">
        <v>97</v>
      </c>
      <c r="Q18" s="7" t="s">
        <v>98</v>
      </c>
      <c r="R18" s="7"/>
      <c r="S18" s="7"/>
      <c r="T18" s="7"/>
      <c r="U18" s="8" t="s">
        <v>99</v>
      </c>
      <c r="V18" s="23">
        <f t="shared" si="0"/>
        <v>0</v>
      </c>
      <c r="W18" s="23">
        <f t="shared" si="1"/>
        <v>-1.09999999999999</v>
      </c>
      <c r="X18" s="23">
        <f t="shared" si="2"/>
        <v>-0.399999999999999</v>
      </c>
      <c r="Y18" s="12" t="str">
        <f t="shared" si="3"/>
        <v>PASS</v>
      </c>
    </row>
  </sheetData>
  <mergeCells count="7">
    <mergeCell ref="A1:Y1"/>
    <mergeCell ref="A2:Y2"/>
    <mergeCell ref="B3:C3"/>
    <mergeCell ref="D3:I3"/>
    <mergeCell ref="J3:L3"/>
    <mergeCell ref="M3:U3"/>
    <mergeCell ref="V3:Y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workbookViewId="0">
      <pane xSplit="2" ySplit="4" topLeftCell="H5" activePane="bottomRight" state="frozen"/>
      <selection/>
      <selection pane="topRight"/>
      <selection pane="bottomLeft"/>
      <selection pane="bottomRight" activeCell="P18" sqref="P18"/>
    </sheetView>
  </sheetViews>
  <sheetFormatPr defaultColWidth="9" defaultRowHeight="14"/>
  <cols>
    <col min="1" max="1" width="5" customWidth="1"/>
    <col min="2" max="2" width="7.5" customWidth="1"/>
    <col min="3" max="3" width="8" customWidth="1"/>
    <col min="4" max="4" width="7.5" customWidth="1"/>
    <col min="5" max="5" width="8" customWidth="1"/>
    <col min="6" max="6" width="7.5" customWidth="1"/>
    <col min="7" max="7" width="8" customWidth="1"/>
    <col min="8" max="8" width="21" customWidth="1"/>
    <col min="9" max="9" width="7.5" customWidth="1"/>
    <col min="10" max="10" width="8" customWidth="1"/>
    <col min="11" max="11" width="8.5" customWidth="1"/>
    <col min="12" max="12" width="7.5" customWidth="1"/>
    <col min="13" max="13" width="8" customWidth="1"/>
    <col min="14" max="14" width="8.5" customWidth="1"/>
    <col min="15" max="19" width="11" customWidth="1"/>
    <col min="20" max="20" width="9" customWidth="1"/>
    <col min="21" max="21" width="36" customWidth="1"/>
    <col min="22" max="25" width="8" customWidth="1"/>
  </cols>
  <sheetData>
    <row r="1" ht="24" customHeight="1" spans="1:26">
      <c r="A1" s="1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"/>
    </row>
    <row r="2" ht="92" customHeight="1" spans="1:26">
      <c r="A2" s="9" t="s">
        <v>101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"/>
    </row>
    <row r="3" ht="14.5" customHeight="1" spans="1:26">
      <c r="A3" s="10"/>
      <c r="B3" s="11" t="s">
        <v>102</v>
      </c>
      <c r="C3" s="6"/>
      <c r="D3" s="6"/>
      <c r="E3" s="2"/>
      <c r="F3" s="11" t="s">
        <v>103</v>
      </c>
      <c r="G3" s="6"/>
      <c r="H3" s="2"/>
      <c r="I3" s="12" t="s">
        <v>4</v>
      </c>
      <c r="J3" s="6"/>
      <c r="K3" s="2"/>
      <c r="L3" s="13" t="s">
        <v>5</v>
      </c>
      <c r="M3" s="6"/>
      <c r="N3" s="6"/>
      <c r="O3" s="6"/>
      <c r="P3" s="6"/>
      <c r="Q3" s="6"/>
      <c r="R3" s="6"/>
      <c r="S3" s="6"/>
      <c r="T3" s="6"/>
      <c r="U3" s="2"/>
      <c r="V3" s="12" t="s">
        <v>6</v>
      </c>
      <c r="W3" s="6"/>
      <c r="X3" s="6"/>
      <c r="Y3" s="2"/>
      <c r="Z3" s="10"/>
    </row>
    <row r="4" ht="30" customHeight="1" spans="1:26">
      <c r="A4" s="3" t="s">
        <v>7</v>
      </c>
      <c r="B4" s="14" t="s">
        <v>104</v>
      </c>
      <c r="C4" s="14" t="s">
        <v>105</v>
      </c>
      <c r="D4" s="14" t="s">
        <v>106</v>
      </c>
      <c r="E4" s="14" t="s">
        <v>107</v>
      </c>
      <c r="F4" s="14" t="s">
        <v>108</v>
      </c>
      <c r="G4" s="14" t="s">
        <v>109</v>
      </c>
      <c r="H4" s="14" t="s">
        <v>110</v>
      </c>
      <c r="I4" s="15" t="s">
        <v>16</v>
      </c>
      <c r="J4" s="15" t="s">
        <v>17</v>
      </c>
      <c r="K4" s="15" t="s">
        <v>18</v>
      </c>
      <c r="L4" s="16" t="s">
        <v>16</v>
      </c>
      <c r="M4" s="16" t="s">
        <v>17</v>
      </c>
      <c r="N4" s="16" t="s">
        <v>18</v>
      </c>
      <c r="O4" s="16" t="s">
        <v>19</v>
      </c>
      <c r="P4" s="16" t="s">
        <v>20</v>
      </c>
      <c r="Q4" s="16" t="s">
        <v>21</v>
      </c>
      <c r="R4" s="16" t="s">
        <v>22</v>
      </c>
      <c r="S4" s="16" t="s">
        <v>23</v>
      </c>
      <c r="T4" s="16" t="s">
        <v>111</v>
      </c>
      <c r="U4" s="16" t="s">
        <v>24</v>
      </c>
      <c r="V4" s="3" t="s">
        <v>25</v>
      </c>
      <c r="W4" s="3" t="s">
        <v>26</v>
      </c>
      <c r="X4" s="3" t="s">
        <v>27</v>
      </c>
      <c r="Y4" s="3" t="s">
        <v>28</v>
      </c>
    </row>
    <row r="5" ht="34" customHeight="1" spans="1:26">
      <c r="A5" s="17" t="s">
        <v>112</v>
      </c>
      <c r="B5" s="18">
        <v>125</v>
      </c>
      <c r="C5" s="19">
        <v>100</v>
      </c>
      <c r="D5" s="18">
        <v>375</v>
      </c>
      <c r="E5" s="19">
        <v>80</v>
      </c>
      <c r="F5" s="20">
        <v>1</v>
      </c>
      <c r="G5" s="19">
        <v>200</v>
      </c>
      <c r="H5" s="5" t="s">
        <v>113</v>
      </c>
      <c r="I5" s="21">
        <v>125</v>
      </c>
      <c r="J5" s="21">
        <v>134.9</v>
      </c>
      <c r="K5" s="21">
        <v>45.3</v>
      </c>
      <c r="L5" s="22">
        <v>125</v>
      </c>
      <c r="M5" s="22">
        <v>135</v>
      </c>
      <c r="N5" s="22">
        <v>45.2</v>
      </c>
      <c r="O5" s="7" t="s">
        <v>45</v>
      </c>
      <c r="P5" s="7" t="s">
        <v>46</v>
      </c>
      <c r="Q5" s="7"/>
      <c r="R5" s="7"/>
      <c r="S5" s="7"/>
      <c r="T5" s="7" t="s">
        <v>114</v>
      </c>
      <c r="U5" s="8" t="s">
        <v>115</v>
      </c>
      <c r="V5" s="23">
        <f t="shared" ref="V5:V10" si="0">IF(L5="","",L5-I5)</f>
        <v>0</v>
      </c>
      <c r="W5" s="23">
        <f t="shared" ref="W5:W10" si="1">IF(M5="","",M5-J5)</f>
        <v>0.0999999999999943</v>
      </c>
      <c r="X5" s="23">
        <f t="shared" ref="X5:X10" si="2">IF(N5="","",N5-K5)</f>
        <v>-0.0999999999999943</v>
      </c>
      <c r="Y5" s="12" t="str">
        <f t="shared" ref="Y5:Y10" si="3">IF(OR(L5="",M5="",N5="",T5=""),"",IF(AND(ABS(L5-I5)&lt;=1,ABS(M5-J5)&lt;=5,ABS(N5-K5)&lt;=5,T5="是"),"PASS","FAIL"))</f>
        <v>PASS</v>
      </c>
    </row>
    <row r="6" ht="34" customHeight="1" spans="1:26">
      <c r="A6" s="17" t="s">
        <v>116</v>
      </c>
      <c r="B6" s="18">
        <v>125</v>
      </c>
      <c r="C6" s="19">
        <v>100</v>
      </c>
      <c r="D6" s="18">
        <v>375</v>
      </c>
      <c r="E6" s="19">
        <v>80</v>
      </c>
      <c r="F6" s="20">
        <v>1.25</v>
      </c>
      <c r="G6" s="19">
        <v>200</v>
      </c>
      <c r="H6" s="5" t="s">
        <v>117</v>
      </c>
      <c r="I6" s="21">
        <v>125</v>
      </c>
      <c r="J6" s="21">
        <v>134.9</v>
      </c>
      <c r="K6" s="21">
        <v>45.3</v>
      </c>
      <c r="L6" s="22">
        <v>125</v>
      </c>
      <c r="M6" s="22">
        <v>135</v>
      </c>
      <c r="N6" s="22">
        <v>45.2</v>
      </c>
      <c r="O6" s="7" t="s">
        <v>45</v>
      </c>
      <c r="P6" s="7" t="s">
        <v>46</v>
      </c>
      <c r="Q6" s="7"/>
      <c r="R6" s="7"/>
      <c r="S6" s="7"/>
      <c r="T6" s="7" t="s">
        <v>114</v>
      </c>
      <c r="U6" s="8" t="s">
        <v>118</v>
      </c>
      <c r="V6" s="23">
        <f t="shared" si="0"/>
        <v>0</v>
      </c>
      <c r="W6" s="23">
        <f t="shared" si="1"/>
        <v>0.0999999999999943</v>
      </c>
      <c r="X6" s="23">
        <f t="shared" si="2"/>
        <v>-0.0999999999999943</v>
      </c>
      <c r="Y6" s="12" t="str">
        <f t="shared" si="3"/>
        <v>PASS</v>
      </c>
    </row>
    <row r="7" ht="34" customHeight="1" spans="1:26">
      <c r="A7" s="17" t="s">
        <v>119</v>
      </c>
      <c r="B7" s="18">
        <v>125</v>
      </c>
      <c r="C7" s="19">
        <v>100</v>
      </c>
      <c r="D7" s="18">
        <v>375</v>
      </c>
      <c r="E7" s="19">
        <v>80</v>
      </c>
      <c r="F7" s="20">
        <v>1.375</v>
      </c>
      <c r="G7" s="19">
        <v>200</v>
      </c>
      <c r="H7" s="5" t="s">
        <v>120</v>
      </c>
      <c r="I7" s="21">
        <v>125</v>
      </c>
      <c r="J7" s="21">
        <v>134.9</v>
      </c>
      <c r="K7" s="21">
        <v>45.3</v>
      </c>
      <c r="L7" s="22">
        <v>125</v>
      </c>
      <c r="M7" s="22">
        <v>135</v>
      </c>
      <c r="N7" s="22">
        <v>45.2</v>
      </c>
      <c r="O7" s="7" t="s">
        <v>45</v>
      </c>
      <c r="P7" s="7" t="s">
        <v>46</v>
      </c>
      <c r="Q7" s="7"/>
      <c r="R7" s="7"/>
      <c r="S7" s="7"/>
      <c r="T7" s="7" t="s">
        <v>114</v>
      </c>
      <c r="U7" s="8" t="s">
        <v>121</v>
      </c>
      <c r="V7" s="23">
        <f t="shared" si="0"/>
        <v>0</v>
      </c>
      <c r="W7" s="23">
        <f t="shared" si="1"/>
        <v>0.0999999999999943</v>
      </c>
      <c r="X7" s="23">
        <f t="shared" si="2"/>
        <v>-0.0999999999999943</v>
      </c>
      <c r="Y7" s="12" t="str">
        <f t="shared" si="3"/>
        <v>PASS</v>
      </c>
    </row>
    <row r="8" ht="34" customHeight="1" spans="1:26">
      <c r="A8" s="17" t="s">
        <v>122</v>
      </c>
      <c r="B8" s="18">
        <v>125</v>
      </c>
      <c r="C8" s="19">
        <v>100</v>
      </c>
      <c r="D8" s="18">
        <v>375</v>
      </c>
      <c r="E8" s="19">
        <v>80</v>
      </c>
      <c r="F8" s="20">
        <v>1.5</v>
      </c>
      <c r="G8" s="19">
        <v>200</v>
      </c>
      <c r="H8" s="5" t="s">
        <v>123</v>
      </c>
      <c r="I8" s="21">
        <v>125</v>
      </c>
      <c r="J8" s="21">
        <v>134.9</v>
      </c>
      <c r="K8" s="21">
        <v>45.3</v>
      </c>
      <c r="L8" s="22">
        <v>125</v>
      </c>
      <c r="M8" s="22">
        <v>134.7</v>
      </c>
      <c r="N8" s="22">
        <v>45.1</v>
      </c>
      <c r="O8" s="7" t="s">
        <v>124</v>
      </c>
      <c r="P8" s="7" t="s">
        <v>125</v>
      </c>
      <c r="Q8" s="7"/>
      <c r="R8" s="7"/>
      <c r="S8" s="7"/>
      <c r="T8" s="7" t="s">
        <v>114</v>
      </c>
      <c r="U8" s="8" t="s">
        <v>126</v>
      </c>
      <c r="V8" s="23">
        <f t="shared" si="0"/>
        <v>0</v>
      </c>
      <c r="W8" s="23">
        <f t="shared" si="1"/>
        <v>-0.200000000000017</v>
      </c>
      <c r="X8" s="23">
        <f t="shared" si="2"/>
        <v>-0.199999999999996</v>
      </c>
      <c r="Y8" s="12" t="str">
        <f t="shared" si="3"/>
        <v>PASS</v>
      </c>
    </row>
    <row r="9" ht="34" customHeight="1" spans="1:26">
      <c r="A9" s="17" t="s">
        <v>127</v>
      </c>
      <c r="B9" s="18">
        <v>125</v>
      </c>
      <c r="C9" s="19">
        <v>100</v>
      </c>
      <c r="D9" s="18">
        <v>375</v>
      </c>
      <c r="E9" s="19">
        <v>80</v>
      </c>
      <c r="F9" s="20">
        <v>1.75</v>
      </c>
      <c r="G9" s="19">
        <v>200</v>
      </c>
      <c r="H9" s="5" t="s">
        <v>128</v>
      </c>
      <c r="I9" s="21">
        <v>125</v>
      </c>
      <c r="J9" s="21">
        <v>134.9</v>
      </c>
      <c r="K9" s="21">
        <v>45.3</v>
      </c>
      <c r="L9" s="22">
        <v>125</v>
      </c>
      <c r="M9" s="22">
        <v>134.5</v>
      </c>
      <c r="N9" s="22">
        <v>45.1</v>
      </c>
      <c r="O9" s="7" t="s">
        <v>124</v>
      </c>
      <c r="P9" s="7" t="s">
        <v>129</v>
      </c>
      <c r="Q9" s="7"/>
      <c r="R9" s="7"/>
      <c r="S9" s="7"/>
      <c r="T9" s="7" t="s">
        <v>114</v>
      </c>
      <c r="U9" s="8" t="s">
        <v>130</v>
      </c>
      <c r="V9" s="23">
        <f t="shared" si="0"/>
        <v>0</v>
      </c>
      <c r="W9" s="23">
        <f t="shared" si="1"/>
        <v>-0.400000000000006</v>
      </c>
      <c r="X9" s="23">
        <f t="shared" si="2"/>
        <v>-0.199999999999996</v>
      </c>
      <c r="Y9" s="12" t="str">
        <f t="shared" si="3"/>
        <v>PASS</v>
      </c>
    </row>
    <row r="10" ht="34" customHeight="1" spans="1:26">
      <c r="A10" s="17" t="s">
        <v>131</v>
      </c>
      <c r="B10" s="18">
        <v>125</v>
      </c>
      <c r="C10" s="19">
        <v>100</v>
      </c>
      <c r="D10" s="18">
        <v>375</v>
      </c>
      <c r="E10" s="19">
        <v>80</v>
      </c>
      <c r="F10" s="20">
        <v>2</v>
      </c>
      <c r="G10" s="19">
        <v>200</v>
      </c>
      <c r="H10" s="5" t="s">
        <v>132</v>
      </c>
      <c r="I10" s="21">
        <v>125</v>
      </c>
      <c r="J10" s="21">
        <v>134.9</v>
      </c>
      <c r="K10" s="21">
        <v>45.3</v>
      </c>
      <c r="L10" s="22">
        <v>125</v>
      </c>
      <c r="M10" s="22">
        <v>134.3</v>
      </c>
      <c r="N10" s="22">
        <v>45</v>
      </c>
      <c r="O10" s="7" t="s">
        <v>97</v>
      </c>
      <c r="P10" s="7" t="s">
        <v>129</v>
      </c>
      <c r="Q10" s="7"/>
      <c r="R10" s="7"/>
      <c r="S10" s="7"/>
      <c r="T10" s="7" t="s">
        <v>114</v>
      </c>
      <c r="U10" s="8" t="s">
        <v>133</v>
      </c>
      <c r="V10" s="23">
        <f t="shared" si="0"/>
        <v>0</v>
      </c>
      <c r="W10" s="23">
        <f t="shared" si="1"/>
        <v>-0.599999999999994</v>
      </c>
      <c r="X10" s="23">
        <f t="shared" si="2"/>
        <v>-0.299999999999997</v>
      </c>
      <c r="Y10" s="12" t="str">
        <f t="shared" si="3"/>
        <v>PASS</v>
      </c>
    </row>
  </sheetData>
  <mergeCells count="7">
    <mergeCell ref="A1:Y1"/>
    <mergeCell ref="A2:Y2"/>
    <mergeCell ref="B3:E3"/>
    <mergeCell ref="F3:H3"/>
    <mergeCell ref="I3:K3"/>
    <mergeCell ref="L3:U3"/>
    <mergeCell ref="V3:Y3"/>
  </mergeCells>
  <conditionalFormatting sqref="Y5:Y10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1">
    <dataValidation type="list" allowBlank="1" sqref="T5:T10">
      <formula1>"是,否"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30" customWidth="1"/>
    <col min="2" max="2" width="62" customWidth="1"/>
    <col min="3" max="3" width="10" customWidth="1"/>
    <col min="4" max="4" width="24" customWidth="1"/>
  </cols>
  <sheetData>
    <row r="1" ht="24" customHeight="1" spans="1:4">
      <c r="A1" s="1" t="s">
        <v>134</v>
      </c>
      <c r="B1" s="6"/>
      <c r="C1" s="6"/>
      <c r="D1" s="2"/>
    </row>
    <row r="2" spans="1:4">
      <c r="A2" s="3" t="s">
        <v>135</v>
      </c>
      <c r="B2" s="3" t="s">
        <v>136</v>
      </c>
      <c r="C2" s="3" t="s">
        <v>137</v>
      </c>
      <c r="D2" s="3" t="s">
        <v>24</v>
      </c>
    </row>
    <row r="3" ht="24" customHeight="1" spans="1:4">
      <c r="A3" s="4" t="s">
        <v>138</v>
      </c>
      <c r="B3" s="5" t="s">
        <v>139</v>
      </c>
      <c r="C3" s="7"/>
      <c r="D3" s="8"/>
    </row>
    <row r="4" ht="24" customHeight="1" spans="1:4">
      <c r="A4" s="4" t="s">
        <v>140</v>
      </c>
      <c r="B4" s="5" t="s">
        <v>141</v>
      </c>
      <c r="C4" s="7"/>
      <c r="D4" s="8"/>
    </row>
    <row r="5" ht="24" customHeight="1" spans="1:4">
      <c r="A5" s="4" t="s">
        <v>142</v>
      </c>
      <c r="B5" s="5" t="s">
        <v>143</v>
      </c>
      <c r="C5" s="7"/>
      <c r="D5" s="8"/>
    </row>
    <row r="6" ht="24" customHeight="1" spans="1:4">
      <c r="A6" s="4" t="s">
        <v>144</v>
      </c>
      <c r="B6" s="5" t="s">
        <v>145</v>
      </c>
      <c r="C6" s="7"/>
      <c r="D6" s="8"/>
    </row>
    <row r="7" ht="24" customHeight="1" spans="1:4">
      <c r="A7" s="4" t="s">
        <v>146</v>
      </c>
      <c r="B7" s="5" t="s">
        <v>147</v>
      </c>
      <c r="C7" s="7"/>
      <c r="D7" s="8"/>
    </row>
    <row r="8" ht="24" customHeight="1" spans="1:4">
      <c r="A8" s="4" t="s">
        <v>148</v>
      </c>
      <c r="B8" s="5" t="s">
        <v>149</v>
      </c>
      <c r="C8" s="7"/>
      <c r="D8" s="8"/>
    </row>
    <row r="9" ht="24" customHeight="1" spans="1:4">
      <c r="A9" s="4" t="s">
        <v>150</v>
      </c>
      <c r="B9" s="5" t="s">
        <v>151</v>
      </c>
      <c r="C9" s="7"/>
      <c r="D9" s="8"/>
    </row>
    <row r="10" ht="24" customHeight="1" spans="1:4">
      <c r="A10" s="4" t="s">
        <v>152</v>
      </c>
      <c r="B10" s="5" t="s">
        <v>153</v>
      </c>
      <c r="C10" s="7"/>
      <c r="D10" s="8"/>
    </row>
    <row r="11" ht="24" customHeight="1" spans="1:4">
      <c r="A11" s="4" t="s">
        <v>154</v>
      </c>
      <c r="B11" s="5" t="s">
        <v>155</v>
      </c>
      <c r="C11" s="7"/>
      <c r="D11" s="8"/>
    </row>
    <row r="12" ht="24" customHeight="1" spans="1:4">
      <c r="A12" s="4" t="s">
        <v>156</v>
      </c>
      <c r="B12" s="5" t="s">
        <v>157</v>
      </c>
      <c r="C12" s="7"/>
      <c r="D12" s="8"/>
    </row>
    <row r="13" ht="24" customHeight="1" spans="1:4">
      <c r="A13" s="4" t="s">
        <v>158</v>
      </c>
      <c r="B13" s="5" t="s">
        <v>159</v>
      </c>
      <c r="C13" s="7"/>
      <c r="D13" s="8"/>
    </row>
    <row r="14" ht="24" customHeight="1" spans="1:4">
      <c r="A14" s="4" t="s">
        <v>160</v>
      </c>
      <c r="B14" s="5" t="s">
        <v>161</v>
      </c>
      <c r="C14" s="7"/>
      <c r="D14" s="8"/>
    </row>
    <row r="15" ht="24" customHeight="1" spans="1:4">
      <c r="A15" s="4" t="s">
        <v>162</v>
      </c>
      <c r="B15" s="5" t="s">
        <v>163</v>
      </c>
      <c r="C15" s="7"/>
      <c r="D15" s="8"/>
    </row>
  </sheetData>
  <mergeCells count="1">
    <mergeCell ref="A1:D1"/>
  </mergeCells>
  <conditionalFormatting sqref="C3:C15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1">
    <dataValidation type="list" allowBlank="1" sqref="C3:C15">
      <formula1>"PASS,FAIL,N.A."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4" outlineLevelCol="1"/>
  <cols>
    <col min="1" max="1" width="38" customWidth="1"/>
    <col min="2" max="2" width="92" customWidth="1"/>
  </cols>
  <sheetData>
    <row r="1" ht="24" customHeight="1" spans="1:2">
      <c r="A1" s="1" t="s">
        <v>164</v>
      </c>
      <c r="B1" s="2"/>
    </row>
    <row r="2" spans="1:2">
      <c r="A2" s="3" t="s">
        <v>165</v>
      </c>
      <c r="B2" s="3" t="s">
        <v>166</v>
      </c>
    </row>
    <row r="3" ht="38" customHeight="1" spans="1:2">
      <c r="A3" s="4" t="s">
        <v>167</v>
      </c>
      <c r="B3" s="5" t="s">
        <v>168</v>
      </c>
    </row>
    <row r="4" ht="38" customHeight="1" spans="1:2">
      <c r="A4" s="4" t="s">
        <v>169</v>
      </c>
      <c r="B4" s="5" t="s">
        <v>170</v>
      </c>
    </row>
    <row r="5" ht="38" customHeight="1" spans="1:2">
      <c r="A5" s="4" t="s">
        <v>171</v>
      </c>
      <c r="B5" s="5" t="s">
        <v>172</v>
      </c>
    </row>
    <row r="6" ht="38" customHeight="1" spans="1:2">
      <c r="A6" s="4" t="s">
        <v>173</v>
      </c>
      <c r="B6" s="5" t="s">
        <v>174</v>
      </c>
    </row>
    <row r="7" ht="38" customHeight="1" spans="1:2">
      <c r="A7" s="4" t="s">
        <v>175</v>
      </c>
      <c r="B7" s="5" t="s">
        <v>176</v>
      </c>
    </row>
    <row r="8" ht="38" customHeight="1" spans="1:2">
      <c r="A8" s="4" t="s">
        <v>177</v>
      </c>
      <c r="B8" s="5" t="s">
        <v>178</v>
      </c>
    </row>
    <row r="9" ht="38" customHeight="1" spans="1:2">
      <c r="A9" s="4" t="s">
        <v>179</v>
      </c>
      <c r="B9" s="5" t="s">
        <v>180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官方测评值+测试矩阵</vt:lpstr>
      <vt:lpstr>干扰矩阵</vt:lpstr>
      <vt:lpstr>其他检查项</vt:lpstr>
      <vt:lpstr>别判自己错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谢兆俊</cp:lastModifiedBy>
  <dcterms:created xsi:type="dcterms:W3CDTF">2026-10-16T13:13:00Z</dcterms:created>
  <dcterms:modified xsi:type="dcterms:W3CDTF">2026-10-16T14:39:17Z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ADC831CF522746D89EC0D08B5C419281_12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